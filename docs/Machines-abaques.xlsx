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erche" sheetId="1" state="visible" r:id="rId1"/>
    <sheet xmlns:r="http://schemas.openxmlformats.org/officeDocument/2006/relationships" name="Machines" sheetId="2" state="visible" r:id="rId2"/>
    <sheet xmlns:r="http://schemas.openxmlformats.org/officeDocument/2006/relationships" name="Synthèse" sheetId="3" state="visible" r:id="rId3"/>
  </sheets>
  <definedNames>
    <definedName name="ListeMachines">Machines!$A$2:$A$45</definedName>
    <definedName name="_xlnm._FilterDatabase" localSheetId="1" hidden="1">'Machines'!$A$1:$I$45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4489"/>
      <sz val="16"/>
    </font>
    <font>
      <name val="Arial"/>
      <i val="1"/>
      <sz val="10"/>
    </font>
    <font>
      <name val="Arial"/>
      <b val="1"/>
      <color rgb="00004489"/>
      <sz val="12"/>
    </font>
    <font>
      <name val="Arial"/>
      <b val="1"/>
      <sz val="10"/>
    </font>
    <font>
      <name val="Arial"/>
      <b val="1"/>
      <color rgb="00E20025"/>
      <sz val="10"/>
    </font>
    <font>
      <name val="Arial"/>
      <b val="1"/>
      <color rgb="00004489"/>
      <sz val="14"/>
    </font>
  </fonts>
  <fills count="5">
    <fill>
      <patternFill/>
    </fill>
    <fill>
      <patternFill patternType="gray125"/>
    </fill>
    <fill>
      <patternFill patternType="solid">
        <fgColor rgb="00004489"/>
        <bgColor rgb="00004489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  <border>
      <left style="medium">
        <color rgb="00004489"/>
      </left>
      <right style="medium">
        <color rgb="00004489"/>
      </right>
      <top style="medium">
        <color rgb="00004489"/>
      </top>
      <bottom style="medium">
        <color rgb="00004489"/>
      </bottom>
    </border>
    <border>
      <left/>
      <right/>
      <top style="thin">
        <color rgb="00DCDCDC"/>
      </top>
      <bottom/>
      <diagonal/>
    </border>
    <border>
      <left/>
      <right style="thin">
        <color rgb="00DCDCDC"/>
      </right>
      <top style="thin">
        <color rgb="00DCDCDC"/>
      </top>
      <bottom/>
      <diagonal/>
    </border>
    <border>
      <left/>
      <right/>
      <top style="thin">
        <color rgb="00DCDCDC"/>
      </top>
      <bottom style="thin">
        <color rgb="00DCDCDC"/>
      </bottom>
      <diagonal/>
    </border>
    <border>
      <left/>
      <right style="thin">
        <color rgb="00DCDCDC"/>
      </right>
      <top style="thin">
        <color rgb="00DCDCDC"/>
      </top>
      <bottom style="thin">
        <color rgb="00DCDCD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3" borderId="2" pivotButton="0" quotePrefix="0" xfId="0"/>
    <xf numFmtId="0" fontId="6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3">
    <dxf>
      <font>
        <name val="Arial"/>
        <b val="1"/>
        <color rgb="00FFFFFF"/>
        <sz val="10"/>
      </font>
      <fill>
        <patternFill patternType="solid">
          <fgColor rgb="007AA536"/>
          <bgColor rgb="007AA536"/>
        </patternFill>
      </fill>
    </dxf>
    <dxf>
      <font>
        <name val="Arial"/>
        <b val="1"/>
        <color rgb="00FFFFFF"/>
        <sz val="10"/>
      </font>
      <fill>
        <patternFill patternType="solid">
          <fgColor rgb="00E20025"/>
          <bgColor rgb="00E20025"/>
        </patternFill>
      </fill>
    </dxf>
    <dxf>
      <font>
        <name val="Arial"/>
        <b val="1"/>
        <sz val="10"/>
      </font>
      <fill>
        <patternFill patternType="solid">
          <fgColor rgb="00F2AB1B"/>
          <bgColor rgb="00F2AB1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4489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Adéquation de levage — disponibilité des abaques</t>
        </is>
      </c>
    </row>
    <row r="2">
      <c r="A2" s="2" t="inlineStr">
        <is>
          <t>Choisissez une machine dans la liste déroulante (cellule bleutée ci-dessous) : les informations s'affichent automatiquement.</t>
        </is>
      </c>
    </row>
    <row r="4" ht="24" customHeight="1">
      <c r="A4" s="3" t="inlineStr">
        <is>
          <t>Machine</t>
        </is>
      </c>
      <c r="B4" s="4" t="inlineStr">
        <is>
          <t>Demag AC 100-4L</t>
        </is>
      </c>
    </row>
    <row r="6">
      <c r="A6" s="5" t="inlineStr">
        <is>
          <t>Type</t>
        </is>
      </c>
      <c r="B6" s="6">
        <f>IFERROR(INDEX(Machines!$D$2:$D$45,MATCH($B$4,Machines!$A$2:$A$45,0)),"—")</f>
        <v/>
      </c>
    </row>
    <row r="7">
      <c r="A7" s="5" t="inlineStr">
        <is>
          <t>Abaque disponible</t>
        </is>
      </c>
      <c r="B7" s="7">
        <f>IFERROR(INDEX(Machines!$E$2:$E$45,MATCH($B$4,Machines!$A$2:$A$45,0)),"—")</f>
        <v/>
      </c>
    </row>
    <row r="8">
      <c r="A8" s="5" t="inlineStr">
        <is>
          <t>Nb de configurations</t>
        </is>
      </c>
      <c r="B8" s="6">
        <f>IFERROR(INDEX(Machines!$F$2:$F$45,MATCH($B$4,Machines!$A$2:$A$45,0)),"—")</f>
        <v/>
      </c>
    </row>
    <row r="9">
      <c r="A9" s="5" t="inlineStr">
        <is>
          <t>Statut</t>
        </is>
      </c>
      <c r="B9" s="6">
        <f>IFERROR(INDEX(Machines!$G$2:$G$45,MATCH($B$4,Machines!$A$2:$A$45,0)),"—")</f>
        <v/>
      </c>
    </row>
    <row r="10" ht="60" customHeight="1">
      <c r="A10" s="5" t="inlineStr">
        <is>
          <t>Source ou motif</t>
        </is>
      </c>
      <c r="B10" s="6">
        <f>IFERROR(INDEX(Machines!$H$2:$H$45,MATCH($B$4,Machines!$A$2:$A$45,0)),"—")</f>
        <v/>
      </c>
    </row>
    <row r="11" ht="45" customHeight="1">
      <c r="A11" s="5" t="inlineStr">
        <is>
          <t>Document nécessaire</t>
        </is>
      </c>
      <c r="B11" s="6">
        <f>IFERROR(INDEX(Machines!$I$2:$I$45,MATCH($B$4,Machines!$A$2:$A$45,0)),"—")</f>
        <v/>
      </c>
    </row>
    <row r="13" ht="32" customHeight="1">
      <c r="A13" s="8" t="inlineStr">
        <is>
          <t>Outil d'aide à la rédaction : l'abaque doit être vérifié sur la documentation de la machine réellement présente sur site, et validé par une personne compétente.</t>
        </is>
      </c>
    </row>
    <row r="14" ht="32" customHeight="1">
      <c r="A14" s="9" t="inlineStr">
        <is>
          <t>Légende : Oui = abaque présent dans le catalogue ; Non = abaque manquant (voir « Document nécessaire »). Statut « À vérifier » = abaque saisi mais non encore relu contre la documentation constructeur.</t>
        </is>
      </c>
    </row>
  </sheetData>
  <mergeCells count="2">
    <mergeCell ref="A13:B13"/>
    <mergeCell ref="A14:B14"/>
  </mergeCells>
  <conditionalFormatting sqref="B7">
    <cfRule type="cellIs" priority="1" operator="equal" dxfId="0">
      <formula>"Oui"</formula>
    </cfRule>
    <cfRule type="cellIs" priority="2" operator="equal" dxfId="1">
      <formula>"Non"</formula>
    </cfRule>
  </conditionalFormatting>
  <conditionalFormatting sqref="B9">
    <cfRule type="cellIs" priority="3" operator="equal" dxfId="2">
      <formula>"À vérifier"</formula>
    </cfRule>
  </conditionalFormatting>
  <dataValidations count="1">
    <dataValidation sqref="B4" showDropDown="0" showInputMessage="0" showErrorMessage="1" allowBlank="0" errorTitle="Machine inconnue" error="Choisissez une machine dans la liste." type="list">
      <formula1>=ListeMachines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4489"/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8" customWidth="1" min="4" max="4"/>
    <col width="14" customWidth="1" min="5" max="5"/>
    <col width="14" customWidth="1" min="6" max="6"/>
    <col width="13" customWidth="1" min="7" max="7"/>
    <col width="70" customWidth="1" min="8" max="8"/>
    <col width="45" customWidth="1" min="9" max="9"/>
  </cols>
  <sheetData>
    <row r="1" ht="32" customHeight="1">
      <c r="A1" s="10" t="inlineStr">
        <is>
          <t>Machine</t>
        </is>
      </c>
      <c r="B1" s="10" t="inlineStr">
        <is>
          <t>Constructeur</t>
        </is>
      </c>
      <c r="C1" s="10" t="inlineStr">
        <is>
          <t>Modèle</t>
        </is>
      </c>
      <c r="D1" s="10" t="inlineStr">
        <is>
          <t>Type</t>
        </is>
      </c>
      <c r="E1" s="10" t="inlineStr">
        <is>
          <t>Abaque disponible</t>
        </is>
      </c>
      <c r="F1" s="10" t="inlineStr">
        <is>
          <t>Nb configurations</t>
        </is>
      </c>
      <c r="G1" s="10" t="inlineStr">
        <is>
          <t>Statut</t>
        </is>
      </c>
      <c r="H1" s="10" t="inlineStr">
        <is>
          <t>Source / motif</t>
        </is>
      </c>
      <c r="I1" s="10" t="inlineStr">
        <is>
          <t>Document nécessaire</t>
        </is>
      </c>
    </row>
    <row r="2">
      <c r="A2" s="11" t="inlineStr">
        <is>
          <t>Demag AC 100-4L</t>
        </is>
      </c>
      <c r="B2" s="11" t="inlineStr">
        <is>
          <t>Demag</t>
        </is>
      </c>
      <c r="C2" s="11" t="inlineStr">
        <is>
          <t>AC 100-4L</t>
        </is>
      </c>
      <c r="D2" s="11" t="inlineStr">
        <is>
          <t>Grue mobile sur pneus</t>
        </is>
      </c>
      <c r="E2" s="12" t="inlineStr">
        <is>
          <t>Oui</t>
        </is>
      </c>
      <c r="F2" s="12" t="n">
        <v>1</v>
      </c>
      <c r="G2" s="12" t="inlineStr">
        <is>
          <t>À vérifier</t>
        </is>
      </c>
      <c r="H2" s="11" t="inlineStr">
        <is>
          <t>TEREX DEMAG AC 100-4L – Hauteurs et capacités de levage : Flèche principale (fiche FOSELEV, 100 tonnes) — Fiche loueur FOSELEV fournie par l'utilisateur</t>
        </is>
      </c>
      <c r="I2" s="11" t="inlineStr">
        <is>
          <t>—</t>
        </is>
      </c>
    </row>
    <row r="3">
      <c r="A3" s="13" t="inlineStr">
        <is>
          <t>Demag AC 120-1</t>
        </is>
      </c>
      <c r="B3" s="13" t="inlineStr">
        <is>
          <t>Demag</t>
        </is>
      </c>
      <c r="C3" s="13" t="inlineStr">
        <is>
          <t>AC 120-1</t>
        </is>
      </c>
      <c r="D3" s="13" t="inlineStr">
        <is>
          <t>Grue mobile sur pneus</t>
        </is>
      </c>
      <c r="E3" s="14" t="inlineStr">
        <is>
          <t>Oui</t>
        </is>
      </c>
      <c r="F3" s="14" t="n">
        <v>1</v>
      </c>
      <c r="G3" s="14" t="inlineStr">
        <is>
          <t>À vérifier</t>
        </is>
      </c>
      <c r="H3" s="13" t="inlineStr">
        <is>
          <t>TEREX DEMAG AC 120-1 - 120 tonnes - Capacité de levage (fiche FOSELEV, « Cotation : TEREX DEMAG AC 120-1 ») — Fiche loueur FOSELEV fournie par l'utilisateur</t>
        </is>
      </c>
      <c r="I3" s="13" t="inlineStr">
        <is>
          <t>—</t>
        </is>
      </c>
    </row>
    <row r="4">
      <c r="A4" s="11" t="inlineStr">
        <is>
          <t>Demag AC 200-1</t>
        </is>
      </c>
      <c r="B4" s="11" t="inlineStr">
        <is>
          <t>Demag</t>
        </is>
      </c>
      <c r="C4" s="11" t="inlineStr">
        <is>
          <t>AC 200-1</t>
        </is>
      </c>
      <c r="D4" s="11" t="inlineStr">
        <is>
          <t>Grue mobile sur pneus</t>
        </is>
      </c>
      <c r="E4" s="12" t="inlineStr">
        <is>
          <t>Oui</t>
        </is>
      </c>
      <c r="F4" s="12" t="n">
        <v>2</v>
      </c>
      <c r="G4" s="12" t="inlineStr">
        <is>
          <t>À vérifier</t>
        </is>
      </c>
      <c r="H4" s="11" t="inlineStr">
        <is>
          <t>TEREX DEMAG AC 200-1 - 200 tonnes - Capacité de levage (fiche FOSELEV, « Cotation : TEREX DEMAG AC 200-1 ») — Fiche loueur FOSELEV fournie par l'utilisateur</t>
        </is>
      </c>
      <c r="I4" s="11" t="inlineStr">
        <is>
          <t>—</t>
        </is>
      </c>
    </row>
    <row r="5">
      <c r="A5" s="13" t="inlineStr">
        <is>
          <t>Demag AC 30 City</t>
        </is>
      </c>
      <c r="B5" s="13" t="inlineStr">
        <is>
          <t>Demag</t>
        </is>
      </c>
      <c r="C5" s="13" t="inlineStr">
        <is>
          <t>AC 30 City</t>
        </is>
      </c>
      <c r="D5" s="13" t="inlineStr">
        <is>
          <t>Grue mobile sur pneus</t>
        </is>
      </c>
      <c r="E5" s="14" t="inlineStr">
        <is>
          <t>Oui</t>
        </is>
      </c>
      <c r="F5" s="14" t="n">
        <v>1</v>
      </c>
      <c r="G5" s="14" t="inlineStr">
        <is>
          <t>À vérifier</t>
        </is>
      </c>
      <c r="H5" s="13" t="inlineStr">
        <is>
          <t>TEREX DEMAG AC 30 City 30 TONNES – Capacité de levage (fiche loueur FOSELEV) — Fiche loueur FOSELEV fournie par l'utilisateur</t>
        </is>
      </c>
      <c r="I5" s="13" t="inlineStr">
        <is>
          <t>—</t>
        </is>
      </c>
    </row>
    <row r="6">
      <c r="A6" s="11" t="inlineStr">
        <is>
          <t>Demag AC 40-2L</t>
        </is>
      </c>
      <c r="B6" s="11" t="inlineStr">
        <is>
          <t>Demag</t>
        </is>
      </c>
      <c r="C6" s="11" t="inlineStr">
        <is>
          <t>AC 40-2L</t>
        </is>
      </c>
      <c r="D6" s="11" t="inlineStr">
        <is>
          <t>Grue mobile sur pneus</t>
        </is>
      </c>
      <c r="E6" s="12" t="inlineStr">
        <is>
          <t>Oui</t>
        </is>
      </c>
      <c r="F6" s="12" t="n">
        <v>1</v>
      </c>
      <c r="G6" s="12" t="inlineStr">
        <is>
          <t>À vérifier</t>
        </is>
      </c>
      <c r="H6" s="11" t="inlineStr">
        <is>
          <t>TEREX DEMAG AC 40-2L – Hauteurs et capacités de levage : Flèche principale (fiche FOSELEV, 35 tonnes) — Fiche loueur FOSELEV fournie par l'utilisateur</t>
        </is>
      </c>
      <c r="I6" s="11" t="inlineStr">
        <is>
          <t>—</t>
        </is>
      </c>
    </row>
    <row r="7">
      <c r="A7" s="13" t="inlineStr">
        <is>
          <t>Demag AC 50-1</t>
        </is>
      </c>
      <c r="B7" s="13" t="inlineStr">
        <is>
          <t>Demag</t>
        </is>
      </c>
      <c r="C7" s="13" t="inlineStr">
        <is>
          <t>AC 50-1</t>
        </is>
      </c>
      <c r="D7" s="13" t="inlineStr">
        <is>
          <t>Grue mobile sur pneus</t>
        </is>
      </c>
      <c r="E7" s="14" t="inlineStr">
        <is>
          <t>Oui</t>
        </is>
      </c>
      <c r="F7" s="14" t="n">
        <v>1</v>
      </c>
      <c r="G7" s="14" t="inlineStr">
        <is>
          <t>À vérifier</t>
        </is>
      </c>
      <c r="H7" s="13" t="inlineStr">
        <is>
          <t>TEREX DEMAG AC 50-1 50 TONNES – Capacité de levage (fiche loueur FOSELEV) — Fiche loueur FOSELEV fournie par l'utilisateur</t>
        </is>
      </c>
      <c r="I7" s="13" t="inlineStr">
        <is>
          <t>—</t>
        </is>
      </c>
    </row>
    <row r="8">
      <c r="A8" s="11" t="inlineStr">
        <is>
          <t>Demag AC 55-3</t>
        </is>
      </c>
      <c r="B8" s="11" t="inlineStr">
        <is>
          <t>Demag</t>
        </is>
      </c>
      <c r="C8" s="11" t="inlineStr">
        <is>
          <t>AC 55-3</t>
        </is>
      </c>
      <c r="D8" s="11" t="inlineStr">
        <is>
          <t>Grue mobile sur pneus</t>
        </is>
      </c>
      <c r="E8" s="12" t="inlineStr">
        <is>
          <t>Oui</t>
        </is>
      </c>
      <c r="F8" s="12" t="n">
        <v>1</v>
      </c>
      <c r="G8" s="12" t="inlineStr">
        <is>
          <t>À vérifier</t>
        </is>
      </c>
      <c r="H8" s="11" t="inlineStr">
        <is>
          <t>TEREX DEMAG AC 55-3 - Hauteurs et capacités de levage : Flèche principale (fiche FOSELEV, 55 tonnes) — Fiche loueur FOSELEV fournie par l'utilisateur</t>
        </is>
      </c>
      <c r="I8" s="11" t="inlineStr">
        <is>
          <t>—</t>
        </is>
      </c>
    </row>
    <row r="9">
      <c r="A9" s="13" t="inlineStr">
        <is>
          <t>Demag AC 80-2</t>
        </is>
      </c>
      <c r="B9" s="13" t="inlineStr">
        <is>
          <t>Demag</t>
        </is>
      </c>
      <c r="C9" s="13" t="inlineStr">
        <is>
          <t>AC 80-2</t>
        </is>
      </c>
      <c r="D9" s="13" t="inlineStr">
        <is>
          <t>Grue mobile sur pneus</t>
        </is>
      </c>
      <c r="E9" s="14" t="inlineStr">
        <is>
          <t>Oui</t>
        </is>
      </c>
      <c r="F9" s="14" t="n">
        <v>1</v>
      </c>
      <c r="G9" s="14" t="inlineStr">
        <is>
          <t>À vérifier</t>
        </is>
      </c>
      <c r="H9" s="13" t="inlineStr">
        <is>
          <t>TEREX DEMAG AC 80-2 80 TONNES – Capacité de levage (fiche loueur FOSELEV) — Fiche loueur FOSELEV fournie par l'utilisateur</t>
        </is>
      </c>
      <c r="I9" s="13" t="inlineStr">
        <is>
          <t>—</t>
        </is>
      </c>
    </row>
    <row r="10">
      <c r="A10" s="11" t="inlineStr">
        <is>
          <t>Galizia G100E</t>
        </is>
      </c>
      <c r="B10" s="11" t="inlineStr">
        <is>
          <t>Galizia</t>
        </is>
      </c>
      <c r="C10" s="11" t="inlineStr">
        <is>
          <t>G100E</t>
        </is>
      </c>
      <c r="D10" s="11" t="inlineStr">
        <is>
          <t>Grue mobile sur pneus</t>
        </is>
      </c>
      <c r="E10" s="12" t="inlineStr">
        <is>
          <t>Oui</t>
        </is>
      </c>
      <c r="F10" s="12" t="n">
        <v>1</v>
      </c>
      <c r="G10" s="12" t="inlineStr">
        <is>
          <t>À vérifier</t>
        </is>
      </c>
      <c r="H10" s="11" t="inlineStr">
        <is>
          <t>GALIZIA G100E – 12 TONNES – Cotation / Hauteurs et capacités de levage (fiche FOSELEV) — Fiche loueur FOSELEV fournie par l'utilisateur</t>
        </is>
      </c>
      <c r="I10" s="11" t="inlineStr">
        <is>
          <t>—</t>
        </is>
      </c>
    </row>
    <row r="11">
      <c r="A11" s="13" t="inlineStr">
        <is>
          <t>Grove GMK 3050-1</t>
        </is>
      </c>
      <c r="B11" s="13" t="inlineStr">
        <is>
          <t>Grove</t>
        </is>
      </c>
      <c r="C11" s="13" t="inlineStr">
        <is>
          <t>GMK 3050-1</t>
        </is>
      </c>
      <c r="D11" s="13" t="inlineStr">
        <is>
          <t>Grue mobile sur pneus</t>
        </is>
      </c>
      <c r="E11" s="14" t="inlineStr">
        <is>
          <t>Oui</t>
        </is>
      </c>
      <c r="F11" s="14" t="n">
        <v>1</v>
      </c>
      <c r="G11" s="14" t="inlineStr">
        <is>
          <t>À vérifier</t>
        </is>
      </c>
      <c r="H11" s="13" t="inlineStr">
        <is>
          <t>GROVE GMK 3050-1 — Hauteurs et capacités de levage : Flèche principale (fiche FOSELEV, 3 pages) — Fiche loueur FOSELEV fournie par l'utilisateur</t>
        </is>
      </c>
      <c r="I11" s="13" t="inlineStr">
        <is>
          <t>—</t>
        </is>
      </c>
    </row>
    <row r="12">
      <c r="A12" s="11" t="inlineStr">
        <is>
          <t>Grove GMK 5130-2</t>
        </is>
      </c>
      <c r="B12" s="11" t="inlineStr">
        <is>
          <t>Grove</t>
        </is>
      </c>
      <c r="C12" s="11" t="inlineStr">
        <is>
          <t>GMK 5130-2</t>
        </is>
      </c>
      <c r="D12" s="11" t="inlineStr">
        <is>
          <t>Grue mobile sur pneus</t>
        </is>
      </c>
      <c r="E12" s="12" t="inlineStr">
        <is>
          <t>Oui</t>
        </is>
      </c>
      <c r="F12" s="12" t="n">
        <v>1</v>
      </c>
      <c r="G12" s="12" t="inlineStr">
        <is>
          <t>À vérifier</t>
        </is>
      </c>
      <c r="H12" s="11" t="inlineStr">
        <is>
          <t>GROVE GMK 5130-2 — Hauteurs et capacités de levage : Flèche principale (fiche FOSELEV, 5 pages) — Fiche loueur FOSELEV fournie par l'utilisateur</t>
        </is>
      </c>
      <c r="I12" s="11" t="inlineStr">
        <is>
          <t>—</t>
        </is>
      </c>
    </row>
    <row r="13">
      <c r="A13" s="13" t="inlineStr">
        <is>
          <t>Grove GMK 5200</t>
        </is>
      </c>
      <c r="B13" s="13" t="inlineStr">
        <is>
          <t>Grove</t>
        </is>
      </c>
      <c r="C13" s="13" t="inlineStr">
        <is>
          <t>GMK 5200</t>
        </is>
      </c>
      <c r="D13" s="13" t="inlineStr">
        <is>
          <t>Grue mobile sur pneus</t>
        </is>
      </c>
      <c r="E13" s="14" t="inlineStr">
        <is>
          <t>Oui</t>
        </is>
      </c>
      <c r="F13" s="14" t="n">
        <v>2</v>
      </c>
      <c r="G13" s="14" t="inlineStr">
        <is>
          <t>À vérifier</t>
        </is>
      </c>
      <c r="H13" s="13" t="inlineStr">
        <is>
          <t>GROVE GMK 5200 — 200 tonnes : Cotation, Capacité de levage, Flèche principale, Extension treillis (fiche FOSELEV, 5 pages, pages catalogue 124-128) — Fiche loueur FOSELEV fournie par l'utilisateur</t>
        </is>
      </c>
      <c r="I13" s="13" t="inlineStr">
        <is>
          <t>—</t>
        </is>
      </c>
    </row>
    <row r="14">
      <c r="A14" s="11" t="inlineStr">
        <is>
          <t>Grove GMK 6400</t>
        </is>
      </c>
      <c r="B14" s="11" t="inlineStr">
        <is>
          <t>Grove</t>
        </is>
      </c>
      <c r="C14" s="11" t="inlineStr">
        <is>
          <t>GMK 6400</t>
        </is>
      </c>
      <c r="D14" s="11" t="inlineStr">
        <is>
          <t>Grue mobile sur pneus</t>
        </is>
      </c>
      <c r="E14" s="12" t="inlineStr">
        <is>
          <t>Oui</t>
        </is>
      </c>
      <c r="F14" s="12" t="n">
        <v>2</v>
      </c>
      <c r="G14" s="12" t="inlineStr">
        <is>
          <t>À vérifier</t>
        </is>
      </c>
      <c r="H14" s="11" t="inlineStr">
        <is>
          <t>GROVE GMK 6400 - Hauteurs et capacités de levage (fiche FOSELEV, 400 tonnes) — Fiche loueur FOSELEV fournie par l'utilisateur</t>
        </is>
      </c>
      <c r="I14" s="11" t="inlineStr">
        <is>
          <t>—</t>
        </is>
      </c>
    </row>
    <row r="15">
      <c r="A15" s="13" t="inlineStr">
        <is>
          <t>Grove GMK3060L</t>
        </is>
      </c>
      <c r="B15" s="13" t="inlineStr">
        <is>
          <t>Grove</t>
        </is>
      </c>
      <c r="C15" s="13" t="inlineStr">
        <is>
          <t>GMK3060L</t>
        </is>
      </c>
      <c r="D15" s="13" t="inlineStr">
        <is>
          <t>Grue mobile sur pneus</t>
        </is>
      </c>
      <c r="E15" s="14" t="inlineStr">
        <is>
          <t>Oui</t>
        </is>
      </c>
      <c r="F15" s="14" t="n">
        <v>2</v>
      </c>
      <c r="G15" s="14" t="inlineStr">
        <is>
          <t>À vérifier</t>
        </is>
      </c>
      <c r="H15" s="13" t="inlineStr">
        <is>
          <t>GMK3060L Product Guide 60 t 48 m 8,7 - 15 m 65 m (édition métrique, EN 13000) — Manitowoc Cranes (constructeur Grove), fiche « GMK3060L Metric » sur manitowoc.com</t>
        </is>
      </c>
      <c r="I15" s="13" t="inlineStr">
        <is>
          <t>—</t>
        </is>
      </c>
    </row>
    <row r="16">
      <c r="A16" s="11" t="inlineStr">
        <is>
          <t>Grove GMK5150L</t>
        </is>
      </c>
      <c r="B16" s="11" t="inlineStr">
        <is>
          <t>Grove</t>
        </is>
      </c>
      <c r="C16" s="11" t="inlineStr">
        <is>
          <t>GMK5150L</t>
        </is>
      </c>
      <c r="D16" s="11" t="inlineStr">
        <is>
          <t>Grue mobile sur pneus</t>
        </is>
      </c>
      <c r="E16" s="12" t="inlineStr">
        <is>
          <t>Oui</t>
        </is>
      </c>
      <c r="F16" s="12" t="n">
        <v>1</v>
      </c>
      <c r="G16" s="12" t="inlineStr">
        <is>
          <t>À vérifier</t>
        </is>
      </c>
      <c r="H16" s="11" t="inlineStr">
        <is>
          <t>GROVE GMK 5150L — 150 tonnes — Cotation ; Hauteurs et capacités de levage : Flèche principale / Flèche principale + Fléchette (fiche loueur FOSELEV) — Fiche loueur FOSELEV fournie par l'utilisateur</t>
        </is>
      </c>
      <c r="I16" s="11" t="inlineStr">
        <is>
          <t>—</t>
        </is>
      </c>
    </row>
    <row r="17">
      <c r="A17" s="13" t="inlineStr">
        <is>
          <t>Grove RT 540 E</t>
        </is>
      </c>
      <c r="B17" s="13" t="inlineStr">
        <is>
          <t>Grove</t>
        </is>
      </c>
      <c r="C17" s="13" t="inlineStr">
        <is>
          <t>RT 540 E</t>
        </is>
      </c>
      <c r="D17" s="13" t="inlineStr">
        <is>
          <t>Grue mobile sur pneus</t>
        </is>
      </c>
      <c r="E17" s="14" t="inlineStr">
        <is>
          <t>Oui</t>
        </is>
      </c>
      <c r="F17" s="14" t="n">
        <v>1</v>
      </c>
      <c r="G17" s="14" t="inlineStr">
        <is>
          <t>À vérifier</t>
        </is>
      </c>
      <c r="H17" s="13" t="inlineStr">
        <is>
          <t>GROVE RT 540 E - 35 tonnes - Capacité de levage (fiche FOSELEV, « Cotation : GROVE RT 540 E ») — Fiche loueur FOSELEV fournie par l'utilisateur</t>
        </is>
      </c>
      <c r="I17" s="13" t="inlineStr">
        <is>
          <t>—</t>
        </is>
      </c>
    </row>
    <row r="18">
      <c r="A18" s="11" t="inlineStr">
        <is>
          <t>JMG MC 160</t>
        </is>
      </c>
      <c r="B18" s="11" t="inlineStr">
        <is>
          <t>JMG</t>
        </is>
      </c>
      <c r="C18" s="11" t="inlineStr">
        <is>
          <t>MC 160</t>
        </is>
      </c>
      <c r="D18" s="11" t="inlineStr">
        <is>
          <t>Grue mobile sur pneus</t>
        </is>
      </c>
      <c r="E18" s="12" t="inlineStr">
        <is>
          <t>Non</t>
        </is>
      </c>
      <c r="F18" s="12" t="n">
        <v>0</v>
      </c>
      <c r="G18" s="12" t="inlineStr">
        <is>
          <t>—</t>
        </is>
      </c>
      <c r="H18" s="11" t="inlineStr">
        <is>
          <t>Abaques uniquement sous forme de courbes (lecture graphique interdite).</t>
        </is>
      </c>
      <c r="I18" s="11" t="inlineStr">
        <is>
          <t>Abaque tabulé du constructeur (valeurs chiffrées).</t>
        </is>
      </c>
    </row>
    <row r="19">
      <c r="A19" s="13" t="inlineStr">
        <is>
          <t>Liebherr LTM 1030-2.1</t>
        </is>
      </c>
      <c r="B19" s="13" t="inlineStr">
        <is>
          <t>Liebherr</t>
        </is>
      </c>
      <c r="C19" s="13" t="inlineStr">
        <is>
          <t>LTM 1030-2.1</t>
        </is>
      </c>
      <c r="D19" s="13" t="inlineStr">
        <is>
          <t>Grue mobile sur pneus</t>
        </is>
      </c>
      <c r="E19" s="14" t="inlineStr">
        <is>
          <t>Oui</t>
        </is>
      </c>
      <c r="F19" s="14" t="n">
        <v>1</v>
      </c>
      <c r="G19" s="14" t="inlineStr">
        <is>
          <t>À vérifier</t>
        </is>
      </c>
      <c r="H19" s="13" t="inlineStr">
        <is>
          <t>LIEBHERR LTM 1030-2.1 – 35 tonnes – Capacité de levage (fiche FOSELEV) — Fiche loueur FOSELEV fournie par l'utilisateur (Document constructeur fourni par l'utilisateur, mis en page par FOSELEV)</t>
        </is>
      </c>
      <c r="I19" s="13" t="inlineStr">
        <is>
          <t>—</t>
        </is>
      </c>
    </row>
    <row r="20">
      <c r="A20" s="11" t="inlineStr">
        <is>
          <t>Liebherr LTM 1040-2.1</t>
        </is>
      </c>
      <c r="B20" s="11" t="inlineStr">
        <is>
          <t>Liebherr</t>
        </is>
      </c>
      <c r="C20" s="11" t="inlineStr">
        <is>
          <t>LTM 1040-2.1</t>
        </is>
      </c>
      <c r="D20" s="11" t="inlineStr">
        <is>
          <t>Grue mobile sur pneus</t>
        </is>
      </c>
      <c r="E20" s="12" t="inlineStr">
        <is>
          <t>Oui</t>
        </is>
      </c>
      <c r="F20" s="12" t="n">
        <v>2</v>
      </c>
      <c r="G20" s="12" t="inlineStr">
        <is>
          <t>À vérifier</t>
        </is>
      </c>
      <c r="H20" s="11" t="inlineStr">
        <is>
          <t>LIEBHERR LTM 1040-2.1 – 35 TONNES – Flèche principale / Extension treillis (fiche FOSELEV, 4 p.) — Fiche loueur FOSELEV fournie par l'utilisateur</t>
        </is>
      </c>
      <c r="I20" s="11" t="inlineStr">
        <is>
          <t>—</t>
        </is>
      </c>
    </row>
    <row r="21">
      <c r="A21" s="13" t="inlineStr">
        <is>
          <t>Liebherr LTM 1055-3.1</t>
        </is>
      </c>
      <c r="B21" s="13" t="inlineStr">
        <is>
          <t>Liebherr</t>
        </is>
      </c>
      <c r="C21" s="13" t="inlineStr">
        <is>
          <t>LTM 1055-3.1</t>
        </is>
      </c>
      <c r="D21" s="13" t="inlineStr">
        <is>
          <t>Grue mobile sur pneus</t>
        </is>
      </c>
      <c r="E21" s="14" t="inlineStr">
        <is>
          <t>Oui</t>
        </is>
      </c>
      <c r="F21" s="14" t="n">
        <v>1</v>
      </c>
      <c r="G21" s="14" t="inlineStr">
        <is>
          <t>À vérifier</t>
        </is>
      </c>
      <c r="H21" s="13" t="inlineStr">
        <is>
          <t>LIEBHERR LTM 1055-3.1 – 55 tonnes – Capacité de levage (fiche FOSELEV) — Fiche loueur FOSELEV fournie par l'utilisateur (Document constructeur fourni par l'utilisateur, mis en page par FOSELEV)</t>
        </is>
      </c>
      <c r="I21" s="13" t="inlineStr">
        <is>
          <t>—</t>
        </is>
      </c>
    </row>
    <row r="22">
      <c r="A22" s="11" t="inlineStr">
        <is>
          <t>Liebherr LTM 1060-3.1</t>
        </is>
      </c>
      <c r="B22" s="11" t="inlineStr">
        <is>
          <t>Liebherr</t>
        </is>
      </c>
      <c r="C22" s="11" t="inlineStr">
        <is>
          <t>LTM 1060-3.1</t>
        </is>
      </c>
      <c r="D22" s="11" t="inlineStr">
        <is>
          <t>Grue mobile sur pneus</t>
        </is>
      </c>
      <c r="E22" s="12" t="inlineStr">
        <is>
          <t>Oui</t>
        </is>
      </c>
      <c r="F22" s="12" t="n">
        <v>2</v>
      </c>
      <c r="G22" s="12" t="inlineStr">
        <is>
          <t>À vérifier</t>
        </is>
      </c>
      <c r="H22" s="11" t="inlineStr">
        <is>
          <t>Liebherr LTM 1060-3.1 – Technische Daten / Technical data / Caractéristiques techniques [m/t] (édition métrique, EN 13000) — Liebherr-Werk Ehingen GmbH (CDN officiel assets-cdn.liebherr.com, lien « Technical Data - Mobile crane LTM 1060-3.1 [m/t] metric » de la page produit liebherr.com/en-int)</t>
        </is>
      </c>
      <c r="I22" s="11" t="inlineStr">
        <is>
          <t>—</t>
        </is>
      </c>
    </row>
    <row r="23">
      <c r="A23" s="13" t="inlineStr">
        <is>
          <t>Liebherr LTM 1070-4.1</t>
        </is>
      </c>
      <c r="B23" s="13" t="inlineStr">
        <is>
          <t>Liebherr</t>
        </is>
      </c>
      <c r="C23" s="13" t="inlineStr">
        <is>
          <t>LTM 1070-4.1</t>
        </is>
      </c>
      <c r="D23" s="13" t="inlineStr">
        <is>
          <t>Grue mobile sur pneus</t>
        </is>
      </c>
      <c r="E23" s="14" t="inlineStr">
        <is>
          <t>Oui</t>
        </is>
      </c>
      <c r="F23" s="14" t="n">
        <v>2</v>
      </c>
      <c r="G23" s="14" t="inlineStr">
        <is>
          <t>À vérifier</t>
        </is>
      </c>
      <c r="H23" s="13" t="inlineStr">
        <is>
          <t>LIEBHERR LTM 1070-4.1 – 70 TONNES – Hauteurs et capacités de levage : Flèche principale (+ Fléchette) (fiche FOSELEV, 5 p.) — Fiche loueur FOSELEV fournie par l'utilisateur</t>
        </is>
      </c>
      <c r="I23" s="13" t="inlineStr">
        <is>
          <t>—</t>
        </is>
      </c>
    </row>
    <row r="24">
      <c r="A24" s="11" t="inlineStr">
        <is>
          <t>Liebherr LTM 1070-4.2</t>
        </is>
      </c>
      <c r="B24" s="11" t="inlineStr">
        <is>
          <t>Liebherr</t>
        </is>
      </c>
      <c r="C24" s="11" t="inlineStr">
        <is>
          <t>LTM 1070-4.2</t>
        </is>
      </c>
      <c r="D24" s="11" t="inlineStr">
        <is>
          <t>Grue mobile sur pneus</t>
        </is>
      </c>
      <c r="E24" s="12" t="inlineStr">
        <is>
          <t>Oui</t>
        </is>
      </c>
      <c r="F24" s="12" t="n">
        <v>2</v>
      </c>
      <c r="G24" s="12" t="inlineStr">
        <is>
          <t>À vérifier</t>
        </is>
      </c>
      <c r="H24" s="11" t="inlineStr">
        <is>
          <t>LIEBHERR LTM 1070-4.2 – 70 TONNES – Hauteurs et capacités de levage : Flèche principale (+ Fléchette) (fiche FOSELEV, 5 p.) — Fiche loueur FOSELEV fournie par l'utilisateur</t>
        </is>
      </c>
      <c r="I24" s="11" t="inlineStr">
        <is>
          <t>—</t>
        </is>
      </c>
    </row>
    <row r="25">
      <c r="A25" s="13" t="inlineStr">
        <is>
          <t>Liebherr LTM 1090-4.1</t>
        </is>
      </c>
      <c r="B25" s="13" t="inlineStr">
        <is>
          <t>Liebherr</t>
        </is>
      </c>
      <c r="C25" s="13" t="inlineStr">
        <is>
          <t>LTM 1090-4.1</t>
        </is>
      </c>
      <c r="D25" s="13" t="inlineStr">
        <is>
          <t>Grue mobile sur pneus</t>
        </is>
      </c>
      <c r="E25" s="14" t="inlineStr">
        <is>
          <t>Oui</t>
        </is>
      </c>
      <c r="F25" s="14" t="n">
        <v>1</v>
      </c>
      <c r="G25" s="14" t="inlineStr">
        <is>
          <t>À vérifier</t>
        </is>
      </c>
      <c r="H25" s="13" t="inlineStr">
        <is>
          <t>LIEBHERR LTM 1090-4.1 – Hauteurs et capacités de levage : Flèche principale (fiche FOSELEV, 90 tonnes) — Fiche loueur FOSELEV fournie par l'utilisateur</t>
        </is>
      </c>
      <c r="I25" s="13" t="inlineStr">
        <is>
          <t>—</t>
        </is>
      </c>
    </row>
    <row r="26">
      <c r="A26" s="11" t="inlineStr">
        <is>
          <t>Liebherr LTM 1090-4.2</t>
        </is>
      </c>
      <c r="B26" s="11" t="inlineStr">
        <is>
          <t>Liebherr</t>
        </is>
      </c>
      <c r="C26" s="11" t="inlineStr">
        <is>
          <t>LTM 1090-4.2</t>
        </is>
      </c>
      <c r="D26" s="11" t="inlineStr">
        <is>
          <t>Grue mobile sur pneus</t>
        </is>
      </c>
      <c r="E26" s="12" t="inlineStr">
        <is>
          <t>Non</t>
        </is>
      </c>
      <c r="F26" s="12" t="n">
        <v>0</v>
      </c>
      <c r="G26" s="12" t="inlineStr">
        <is>
          <t>—</t>
        </is>
      </c>
      <c r="H26" s="11" t="inlineStr">
        <is>
          <t>Tableau 360° codé par couleur selon le rayon de contrepoids, sans légende exploitable.</t>
        </is>
      </c>
      <c r="I26" s="11" t="inlineStr">
        <is>
          <t>Livre de tables de charge complet du constructeur.</t>
        </is>
      </c>
    </row>
    <row r="27">
      <c r="A27" s="13" t="inlineStr">
        <is>
          <t>Liebherr LTM 1100-4.2</t>
        </is>
      </c>
      <c r="B27" s="13" t="inlineStr">
        <is>
          <t>Liebherr</t>
        </is>
      </c>
      <c r="C27" s="13" t="inlineStr">
        <is>
          <t>LTM 1100-4.2</t>
        </is>
      </c>
      <c r="D27" s="13" t="inlineStr">
        <is>
          <t>Grue mobile sur pneus</t>
        </is>
      </c>
      <c r="E27" s="14" t="inlineStr">
        <is>
          <t>Oui</t>
        </is>
      </c>
      <c r="F27" s="14" t="n">
        <v>1</v>
      </c>
      <c r="G27" s="14" t="inlineStr">
        <is>
          <t>À vérifier</t>
        </is>
      </c>
      <c r="H27" s="13" t="inlineStr">
        <is>
          <t>LIEBHERR LTM 1100-4.2 — Hauteurs et capacités de levage : Flèche principale (fiche FOSELEV, 5 pages) — Fiche loueur FOSELEV fournie par l'utilisateur</t>
        </is>
      </c>
      <c r="I27" s="13" t="inlineStr">
        <is>
          <t>—</t>
        </is>
      </c>
    </row>
    <row r="28">
      <c r="A28" s="11" t="inlineStr">
        <is>
          <t>Liebherr LTM 1250-1</t>
        </is>
      </c>
      <c r="B28" s="11" t="inlineStr">
        <is>
          <t>Liebherr</t>
        </is>
      </c>
      <c r="C28" s="11" t="inlineStr">
        <is>
          <t>LTM 1250-1</t>
        </is>
      </c>
      <c r="D28" s="11" t="inlineStr">
        <is>
          <t>Grue mobile sur pneus</t>
        </is>
      </c>
      <c r="E28" s="12" t="inlineStr">
        <is>
          <t>Oui</t>
        </is>
      </c>
      <c r="F28" s="12" t="n">
        <v>2</v>
      </c>
      <c r="G28" s="12" t="inlineStr">
        <is>
          <t>À vérifier</t>
        </is>
      </c>
      <c r="H28" s="11" t="inlineStr">
        <is>
          <t>LIEBHERR LTM 1250-1 – 250 tonnes – Capacité de levage (fiche FOSELEV) — Fiche loueur FOSELEV fournie par l'utilisateur (Document constructeur fourni par l'utilisateur, mis en page par FOSELEV)</t>
        </is>
      </c>
      <c r="I28" s="11" t="inlineStr">
        <is>
          <t>—</t>
        </is>
      </c>
    </row>
    <row r="29">
      <c r="A29" s="13" t="inlineStr">
        <is>
          <t>Shuttlelift 5550 RT</t>
        </is>
      </c>
      <c r="B29" s="13" t="inlineStr">
        <is>
          <t>Shuttlelift</t>
        </is>
      </c>
      <c r="C29" s="13" t="inlineStr">
        <is>
          <t>5550 RT</t>
        </is>
      </c>
      <c r="D29" s="13" t="inlineStr">
        <is>
          <t>Grue mobile sur pneus</t>
        </is>
      </c>
      <c r="E29" s="14" t="inlineStr">
        <is>
          <t>Non</t>
        </is>
      </c>
      <c r="F29" s="14" t="n">
        <v>0</v>
      </c>
      <c r="G29" s="14" t="inlineStr">
        <is>
          <t>—</t>
        </is>
      </c>
      <c r="H29" s="13" t="inlineStr">
        <is>
          <t>Valeurs converties d'une édition US, sans norme ni calage imprimés.</t>
        </is>
      </c>
      <c r="I29" s="13" t="inlineStr">
        <is>
          <t>Édition métrique européenne des tables de charge.</t>
        </is>
      </c>
    </row>
    <row r="30">
      <c r="A30" s="11" t="inlineStr">
        <is>
          <t>Tadano ATF 50G-3</t>
        </is>
      </c>
      <c r="B30" s="11" t="inlineStr">
        <is>
          <t>Tadano</t>
        </is>
      </c>
      <c r="C30" s="11" t="inlineStr">
        <is>
          <t>ATF 50G-3</t>
        </is>
      </c>
      <c r="D30" s="11" t="inlineStr">
        <is>
          <t>Grue mobile sur pneus</t>
        </is>
      </c>
      <c r="E30" s="12" t="inlineStr">
        <is>
          <t>Oui</t>
        </is>
      </c>
      <c r="F30" s="12" t="n">
        <v>1</v>
      </c>
      <c r="G30" s="12" t="inlineStr">
        <is>
          <t>À vérifier</t>
        </is>
      </c>
      <c r="H30" s="11" t="inlineStr">
        <is>
          <t>TADANO FAUN ATF 50G-3 — 50 tonnes — Cotation ; Hauteurs et capacités de levage : Flèche principale / Flèche principale + Fléchette (fiche loueur FOSELEV) — Fiche loueur FOSELEV fournie par l'utilisateur</t>
        </is>
      </c>
      <c r="I30" s="11" t="inlineStr">
        <is>
          <t>—</t>
        </is>
      </c>
    </row>
    <row r="31">
      <c r="A31" s="13" t="inlineStr">
        <is>
          <t>Tadano ATF 60G-3</t>
        </is>
      </c>
      <c r="B31" s="13" t="inlineStr">
        <is>
          <t>Tadano</t>
        </is>
      </c>
      <c r="C31" s="13" t="inlineStr">
        <is>
          <t>ATF 60G-3</t>
        </is>
      </c>
      <c r="D31" s="13" t="inlineStr">
        <is>
          <t>Grue mobile sur pneus</t>
        </is>
      </c>
      <c r="E31" s="14" t="inlineStr">
        <is>
          <t>Oui</t>
        </is>
      </c>
      <c r="F31" s="14" t="n">
        <v>1</v>
      </c>
      <c r="G31" s="14" t="inlineStr">
        <is>
          <t>À vérifier</t>
        </is>
      </c>
      <c r="H31" s="13" t="inlineStr">
        <is>
          <t>TADANO FAUN ATF 60G-3 — 60 tonnes — Cotation ; Hauteurs et capacités de levage : Flèche principale / Flèche principale + Fléchette (fiche loueur FOSELEV) — Fiche loueur FOSELEV fournie par l'utilisateur</t>
        </is>
      </c>
      <c r="I31" s="13" t="inlineStr">
        <is>
          <t>—</t>
        </is>
      </c>
    </row>
    <row r="32">
      <c r="A32" s="11" t="inlineStr">
        <is>
          <t>Tadano ATF 90G-4</t>
        </is>
      </c>
      <c r="B32" s="11" t="inlineStr">
        <is>
          <t>Tadano</t>
        </is>
      </c>
      <c r="C32" s="11" t="inlineStr">
        <is>
          <t>ATF 90G-4</t>
        </is>
      </c>
      <c r="D32" s="11" t="inlineStr">
        <is>
          <t>Grue mobile sur pneus</t>
        </is>
      </c>
      <c r="E32" s="12" t="inlineStr">
        <is>
          <t>Oui</t>
        </is>
      </c>
      <c r="F32" s="12" t="n">
        <v>1</v>
      </c>
      <c r="G32" s="12" t="inlineStr">
        <is>
          <t>À vérifier</t>
        </is>
      </c>
      <c r="H32" s="11" t="inlineStr">
        <is>
          <t>TADANO FAUN ATF 90G-4 - Hauteurs et capacités de levage : Flèche principale (fiche FOSELEV, 90 tonnes) — Fiche loueur FOSELEV fournie par l'utilisateur</t>
        </is>
      </c>
      <c r="I32" s="11" t="inlineStr">
        <is>
          <t>—</t>
        </is>
      </c>
    </row>
    <row r="33">
      <c r="A33" s="13" t="inlineStr">
        <is>
          <t>Terex A600</t>
        </is>
      </c>
      <c r="B33" s="13" t="inlineStr">
        <is>
          <t>Terex</t>
        </is>
      </c>
      <c r="C33" s="13" t="inlineStr">
        <is>
          <t>A600</t>
        </is>
      </c>
      <c r="D33" s="13" t="inlineStr">
        <is>
          <t>Grue mobile sur pneus</t>
        </is>
      </c>
      <c r="E33" s="14" t="inlineStr">
        <is>
          <t>Oui</t>
        </is>
      </c>
      <c r="F33" s="14" t="n">
        <v>1</v>
      </c>
      <c r="G33" s="14" t="inlineStr">
        <is>
          <t>À vérifier</t>
        </is>
      </c>
      <c r="H33" s="13" t="inlineStr">
        <is>
          <t>TEREX A600 — 60 tonnes — Cotation ; Hauteurs et capacités de levage : Flèche principale + fléchette (fiche loueur FOSELEV) — Fiche loueur FOSELEV fournie par l'utilisateur</t>
        </is>
      </c>
      <c r="I33" s="13" t="inlineStr">
        <is>
          <t>—</t>
        </is>
      </c>
    </row>
    <row r="34">
      <c r="A34" s="11" t="inlineStr">
        <is>
          <t>Liebherr LR 1100</t>
        </is>
      </c>
      <c r="B34" s="11" t="inlineStr">
        <is>
          <t>Liebherr</t>
        </is>
      </c>
      <c r="C34" s="11" t="inlineStr">
        <is>
          <t>LR 1100</t>
        </is>
      </c>
      <c r="D34" s="11" t="inlineStr">
        <is>
          <t>Grue mobile sur chenilles</t>
        </is>
      </c>
      <c r="E34" s="12" t="inlineStr">
        <is>
          <t>Oui</t>
        </is>
      </c>
      <c r="F34" s="12" t="n">
        <v>2</v>
      </c>
      <c r="G34" s="12" t="inlineStr">
        <is>
          <t>À vérifier</t>
        </is>
      </c>
      <c r="H34" s="11" t="inlineStr">
        <is>
          <t>LIEBHERR LR 1100 — 100 tonnes : Cotation, Capacité de levage, Flèche principale (fiche FOSELEV, 3 pages, pages catalogue 198-200) — Fiche loueur FOSELEV fournie par l'utilisateur</t>
        </is>
      </c>
      <c r="I34" s="11" t="inlineStr">
        <is>
          <t>—</t>
        </is>
      </c>
    </row>
    <row r="35">
      <c r="A35" s="13" t="inlineStr">
        <is>
          <t>Liebherr LR 1200</t>
        </is>
      </c>
      <c r="B35" s="13" t="inlineStr">
        <is>
          <t>Liebherr</t>
        </is>
      </c>
      <c r="C35" s="13" t="inlineStr">
        <is>
          <t>LR 1200</t>
        </is>
      </c>
      <c r="D35" s="13" t="inlineStr">
        <is>
          <t>Grue mobile sur chenilles</t>
        </is>
      </c>
      <c r="E35" s="14" t="inlineStr">
        <is>
          <t>Non</t>
        </is>
      </c>
      <c r="F35" s="14" t="n">
        <v>0</v>
      </c>
      <c r="G35" s="14" t="inlineStr">
        <is>
          <t>—</t>
        </is>
      </c>
      <c r="H35" s="13" t="inlineStr">
        <is>
          <t>Tableaux de la fiche loueur incohérents (étiquettes de contrepoids probablement inversées) : exclu par sécurité.</t>
        </is>
      </c>
      <c r="I35" s="13" t="inlineStr">
        <is>
          <t>Tables de charge du constructeur.</t>
        </is>
      </c>
    </row>
    <row r="36">
      <c r="A36" s="11" t="inlineStr">
        <is>
          <t>Terex TCC 45</t>
        </is>
      </c>
      <c r="B36" s="11" t="inlineStr">
        <is>
          <t>Terex</t>
        </is>
      </c>
      <c r="C36" s="11" t="inlineStr">
        <is>
          <t>TCC 45</t>
        </is>
      </c>
      <c r="D36" s="11" t="inlineStr">
        <is>
          <t>Grue mobile sur chenilles</t>
        </is>
      </c>
      <c r="E36" s="12" t="inlineStr">
        <is>
          <t>Non</t>
        </is>
      </c>
      <c r="F36" s="12" t="n">
        <v>0</v>
      </c>
      <c r="G36" s="12" t="inlineStr">
        <is>
          <t>—</t>
        </is>
      </c>
      <c r="H36" s="11" t="inlineStr">
        <is>
          <t>Modes 1 / 2 non légendés sur la fiche loueur : exclu par sécurité.</t>
        </is>
      </c>
      <c r="I36" s="11" t="inlineStr">
        <is>
          <t>Tables de charge du constructeur avec la signification des modes.</t>
        </is>
      </c>
    </row>
    <row r="37">
      <c r="A37" s="13" t="inlineStr">
        <is>
          <t>Liebherr MK 110</t>
        </is>
      </c>
      <c r="B37" s="13" t="inlineStr">
        <is>
          <t>Liebherr</t>
        </is>
      </c>
      <c r="C37" s="13" t="inlineStr">
        <is>
          <t>MK 110</t>
        </is>
      </c>
      <c r="D37" s="13" t="inlineStr">
        <is>
          <t>Grue à tour</t>
        </is>
      </c>
      <c r="E37" s="14" t="inlineStr">
        <is>
          <t>Oui</t>
        </is>
      </c>
      <c r="F37" s="14" t="n">
        <v>2</v>
      </c>
      <c r="G37" s="14" t="inlineStr">
        <is>
          <t>À vérifier</t>
        </is>
      </c>
      <c r="H37" s="13" t="inlineStr">
        <is>
          <t>LIEBHERR MK 110 – 8 TONNES – Hauteurs et capacités de levage (fiche FOSELEV) — Fiche loueur FOSELEV fournie par l'utilisateur</t>
        </is>
      </c>
      <c r="I37" s="13" t="inlineStr">
        <is>
          <t>—</t>
        </is>
      </c>
    </row>
    <row r="38">
      <c r="A38" s="11" t="inlineStr">
        <is>
          <t>Liebherr MK 140</t>
        </is>
      </c>
      <c r="B38" s="11" t="inlineStr">
        <is>
          <t>Liebherr</t>
        </is>
      </c>
      <c r="C38" s="11" t="inlineStr">
        <is>
          <t>MK 140</t>
        </is>
      </c>
      <c r="D38" s="11" t="inlineStr">
        <is>
          <t>Grue à tour</t>
        </is>
      </c>
      <c r="E38" s="12" t="inlineStr">
        <is>
          <t>Oui</t>
        </is>
      </c>
      <c r="F38" s="12" t="n">
        <v>2</v>
      </c>
      <c r="G38" s="12" t="inlineStr">
        <is>
          <t>À vérifier</t>
        </is>
      </c>
      <c r="H38" s="11" t="inlineStr">
        <is>
          <t>LIEBHERR MK 140 – 8 TONNES – Hauteurs et capacités de levage (fiche FOSELEV) — Fiche loueur FOSELEV fournie par l'utilisateur</t>
        </is>
      </c>
      <c r="I38" s="11" t="inlineStr">
        <is>
          <t>—</t>
        </is>
      </c>
    </row>
    <row r="39">
      <c r="A39" s="13" t="inlineStr">
        <is>
          <t>Liebherr MK 88</t>
        </is>
      </c>
      <c r="B39" s="13" t="inlineStr">
        <is>
          <t>Liebherr</t>
        </is>
      </c>
      <c r="C39" s="13" t="inlineStr">
        <is>
          <t>MK 88</t>
        </is>
      </c>
      <c r="D39" s="13" t="inlineStr">
        <is>
          <t>Grue à tour</t>
        </is>
      </c>
      <c r="E39" s="14" t="inlineStr">
        <is>
          <t>Oui</t>
        </is>
      </c>
      <c r="F39" s="14" t="n">
        <v>2</v>
      </c>
      <c r="G39" s="14" t="inlineStr">
        <is>
          <t>À vérifier</t>
        </is>
      </c>
      <c r="H39" s="13" t="inlineStr">
        <is>
          <t>LIEBHERR MK 88 – 8 TONNES – Hauteurs et capacités de levage (fiche FOSELEV) — Fiche loueur FOSELEV fournie par l'utilisateur</t>
        </is>
      </c>
      <c r="I39" s="13" t="inlineStr">
        <is>
          <t>—</t>
        </is>
      </c>
    </row>
    <row r="40">
      <c r="A40" s="11" t="inlineStr">
        <is>
          <t>Manitou MT 1440</t>
        </is>
      </c>
      <c r="B40" s="11" t="inlineStr">
        <is>
          <t>Manitou</t>
        </is>
      </c>
      <c r="C40" s="11" t="inlineStr">
        <is>
          <t>MT 1440</t>
        </is>
      </c>
      <c r="D40" s="11" t="inlineStr">
        <is>
          <t>Chariot télescopique fixe</t>
        </is>
      </c>
      <c r="E40" s="12" t="inlineStr">
        <is>
          <t>Non</t>
        </is>
      </c>
      <c r="F40" s="12" t="n">
        <v>0</v>
      </c>
      <c r="G40" s="12" t="inlineStr">
        <is>
          <t>—</t>
        </is>
      </c>
      <c r="H40" s="11" t="inlineStr">
        <is>
          <t>Abaques constructeur uniquement sous forme de diagramme (lecture graphique interdite).</t>
        </is>
      </c>
      <c r="I40" s="11" t="inlineStr">
        <is>
          <t>Abaque tabulé du constructeur (valeurs chiffrées).</t>
        </is>
      </c>
    </row>
    <row r="41">
      <c r="A41" s="13" t="inlineStr">
        <is>
          <t>Merlo P40.17</t>
        </is>
      </c>
      <c r="B41" s="13" t="inlineStr">
        <is>
          <t>Merlo</t>
        </is>
      </c>
      <c r="C41" s="13" t="inlineStr">
        <is>
          <t>P40.17</t>
        </is>
      </c>
      <c r="D41" s="13" t="inlineStr">
        <is>
          <t>Chariot télescopique fixe</t>
        </is>
      </c>
      <c r="E41" s="14" t="inlineStr">
        <is>
          <t>Non</t>
        </is>
      </c>
      <c r="F41" s="14" t="n">
        <v>0</v>
      </c>
      <c r="G41" s="14" t="inlineStr">
        <is>
          <t>—</t>
        </is>
      </c>
      <c r="H41" s="13" t="inlineStr">
        <is>
          <t>Fiche technique officielle sans abaque (capacité et hauteur maximales seulement).</t>
        </is>
      </c>
      <c r="I41" s="13" t="inlineStr">
        <is>
          <t>Abaque de charge du constructeur.</t>
        </is>
      </c>
    </row>
    <row r="42">
      <c r="A42" s="11" t="inlineStr">
        <is>
          <t>Manitou MRT 2550 (Privilège+)</t>
        </is>
      </c>
      <c r="B42" s="11" t="inlineStr">
        <is>
          <t>Manitou</t>
        </is>
      </c>
      <c r="C42" s="11" t="inlineStr">
        <is>
          <t>MRT 2550 (Privilège+)</t>
        </is>
      </c>
      <c r="D42" s="11" t="inlineStr">
        <is>
          <t>Chariot télescopique rotatif</t>
        </is>
      </c>
      <c r="E42" s="12" t="inlineStr">
        <is>
          <t>Non</t>
        </is>
      </c>
      <c r="F42" s="12" t="n">
        <v>0</v>
      </c>
      <c r="G42" s="12" t="inlineStr">
        <is>
          <t>—</t>
        </is>
      </c>
      <c r="H42" s="11" t="inlineStr">
        <is>
          <t>Abaques constructeur uniquement sous forme de diagramme (lecture graphique interdite).</t>
        </is>
      </c>
      <c r="I42" s="11" t="inlineStr">
        <is>
          <t>Abaque tabulé du constructeur (valeurs chiffrées).</t>
        </is>
      </c>
    </row>
    <row r="43">
      <c r="A43" s="13" t="inlineStr">
        <is>
          <t>Caterpillar M318 (Next Gen)</t>
        </is>
      </c>
      <c r="B43" s="13" t="inlineStr">
        <is>
          <t>Caterpillar</t>
        </is>
      </c>
      <c r="C43" s="13" t="inlineStr">
        <is>
          <t>M318 (Next Gen)</t>
        </is>
      </c>
      <c r="D43" s="13" t="inlineStr">
        <is>
          <t>Pelle sur pneus</t>
        </is>
      </c>
      <c r="E43" s="14" t="inlineStr">
        <is>
          <t>Non</t>
        </is>
      </c>
      <c r="F43" s="14" t="n">
        <v>0</v>
      </c>
      <c r="G43" s="14" t="inlineStr">
        <is>
          <t>—</t>
        </is>
      </c>
      <c r="H43" s="13" t="inlineStr">
        <is>
          <t>Document avec tables de levage non accessible en ligne.</t>
        </is>
      </c>
      <c r="I43" s="13" t="inlineStr">
        <is>
          <t>PDF Caterpillar AEXQ3469 (tables de levage ISO 10567).</t>
        </is>
      </c>
    </row>
    <row r="44">
      <c r="A44" s="11" t="inlineStr">
        <is>
          <t>Caterpillar 323</t>
        </is>
      </c>
      <c r="B44" s="11" t="inlineStr">
        <is>
          <t>Caterpillar</t>
        </is>
      </c>
      <c r="C44" s="11" t="inlineStr">
        <is>
          <t>323</t>
        </is>
      </c>
      <c r="D44" s="11" t="inlineStr">
        <is>
          <t>Pelle sur chenilles</t>
        </is>
      </c>
      <c r="E44" s="12" t="inlineStr">
        <is>
          <t>Oui</t>
        </is>
      </c>
      <c r="F44" s="12" t="n">
        <v>2</v>
      </c>
      <c r="G44" s="12" t="inlineStr">
        <is>
          <t>À vérifier</t>
        </is>
      </c>
      <c r="H44" s="11" t="inlineStr">
        <is>
          <t>Technical Specifications for 323 Hydraulic Excavator — Caterpillar (CDN officiel scene7 Caterpillar)</t>
        </is>
      </c>
      <c r="I44" s="11" t="inlineStr">
        <is>
          <t>—</t>
        </is>
      </c>
    </row>
    <row r="45">
      <c r="A45" s="13" t="inlineStr">
        <is>
          <t>Caterpillar M323F</t>
        </is>
      </c>
      <c r="B45" s="13" t="inlineStr">
        <is>
          <t>Caterpillar</t>
        </is>
      </c>
      <c r="C45" s="13" t="inlineStr">
        <is>
          <t>M323F</t>
        </is>
      </c>
      <c r="D45" s="13" t="inlineStr">
        <is>
          <t>Pelle rail-route</t>
        </is>
      </c>
      <c r="E45" s="14" t="inlineStr">
        <is>
          <t>Oui</t>
        </is>
      </c>
      <c r="F45" s="14" t="n">
        <v>2</v>
      </c>
      <c r="G45" s="14" t="inlineStr">
        <is>
          <t>À vérifier</t>
        </is>
      </c>
      <c r="H45" s="13" t="inlineStr">
        <is>
          <t>M323F — Pelle excavatrice à roues pour chemin de fer — Caractéristiques techniques — Document constructeur fourni par l'utilisateur</t>
        </is>
      </c>
      <c r="I45" s="13" t="inlineStr">
        <is>
          <t>—</t>
        </is>
      </c>
    </row>
  </sheetData>
  <autoFilter ref="A1:I45"/>
  <conditionalFormatting sqref="E2:E45">
    <cfRule type="cellIs" priority="1" operator="equal" dxfId="0">
      <formula>"Oui"</formula>
    </cfRule>
    <cfRule type="cellIs" priority="2" operator="equal" dxfId="1">
      <formula>"Non"</formula>
    </cfRule>
  </conditionalFormatting>
  <conditionalFormatting sqref="G2:G45">
    <cfRule type="cellIs" priority="3" operator="equal" dxfId="2">
      <formula>"À vérifier"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4489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4" customWidth="1" min="5" max="5"/>
  </cols>
  <sheetData>
    <row r="1">
      <c r="A1" s="15" t="inlineStr">
        <is>
          <t>Synthèse des abaques par type de machine</t>
        </is>
      </c>
    </row>
    <row r="3">
      <c r="A3" s="10" t="inlineStr">
        <is>
          <t>Type</t>
        </is>
      </c>
      <c r="B3" s="10" t="inlineStr">
        <is>
          <t>Total</t>
        </is>
      </c>
      <c r="C3" s="10" t="inlineStr">
        <is>
          <t>Avec abaque</t>
        </is>
      </c>
      <c r="D3" s="10" t="inlineStr">
        <is>
          <t>Sans abaque</t>
        </is>
      </c>
    </row>
    <row r="4">
      <c r="A4" s="11" t="inlineStr">
        <is>
          <t>Grue mobile sur pneus</t>
        </is>
      </c>
      <c r="B4" s="12">
        <f>COUNTIFS(Machines!$D$2:$D$45,$A4)</f>
        <v/>
      </c>
      <c r="C4" s="12">
        <f>COUNTIFS(Machines!$D$2:$D$45,$A4,Machines!$E$2:$E$45,"Oui")</f>
        <v/>
      </c>
      <c r="D4" s="12">
        <f>COUNTIFS(Machines!$D$2:$D$45,$A4,Machines!$E$2:$E$45,"Non")</f>
        <v/>
      </c>
    </row>
    <row r="5">
      <c r="A5" s="13" t="inlineStr">
        <is>
          <t>Grue mobile sur chenilles</t>
        </is>
      </c>
      <c r="B5" s="14">
        <f>COUNTIFS(Machines!$D$2:$D$45,$A5)</f>
        <v/>
      </c>
      <c r="C5" s="14">
        <f>COUNTIFS(Machines!$D$2:$D$45,$A5,Machines!$E$2:$E$45,"Oui")</f>
        <v/>
      </c>
      <c r="D5" s="14">
        <f>COUNTIFS(Machines!$D$2:$D$45,$A5,Machines!$E$2:$E$45,"Non")</f>
        <v/>
      </c>
    </row>
    <row r="6">
      <c r="A6" s="11" t="inlineStr">
        <is>
          <t>Grue à tour</t>
        </is>
      </c>
      <c r="B6" s="12">
        <f>COUNTIFS(Machines!$D$2:$D$45,$A6)</f>
        <v/>
      </c>
      <c r="C6" s="12">
        <f>COUNTIFS(Machines!$D$2:$D$45,$A6,Machines!$E$2:$E$45,"Oui")</f>
        <v/>
      </c>
      <c r="D6" s="12">
        <f>COUNTIFS(Machines!$D$2:$D$45,$A6,Machines!$E$2:$E$45,"Non")</f>
        <v/>
      </c>
    </row>
    <row r="7">
      <c r="A7" s="13" t="inlineStr">
        <is>
          <t>Chariot télescopique fixe</t>
        </is>
      </c>
      <c r="B7" s="14">
        <f>COUNTIFS(Machines!$D$2:$D$45,$A7)</f>
        <v/>
      </c>
      <c r="C7" s="14">
        <f>COUNTIFS(Machines!$D$2:$D$45,$A7,Machines!$E$2:$E$45,"Oui")</f>
        <v/>
      </c>
      <c r="D7" s="14">
        <f>COUNTIFS(Machines!$D$2:$D$45,$A7,Machines!$E$2:$E$45,"Non")</f>
        <v/>
      </c>
    </row>
    <row r="8">
      <c r="A8" s="11" t="inlineStr">
        <is>
          <t>Chariot télescopique rotatif</t>
        </is>
      </c>
      <c r="B8" s="12">
        <f>COUNTIFS(Machines!$D$2:$D$45,$A8)</f>
        <v/>
      </c>
      <c r="C8" s="12">
        <f>COUNTIFS(Machines!$D$2:$D$45,$A8,Machines!$E$2:$E$45,"Oui")</f>
        <v/>
      </c>
      <c r="D8" s="12">
        <f>COUNTIFS(Machines!$D$2:$D$45,$A8,Machines!$E$2:$E$45,"Non")</f>
        <v/>
      </c>
    </row>
    <row r="9">
      <c r="A9" s="13" t="inlineStr">
        <is>
          <t>Pelle sur pneus</t>
        </is>
      </c>
      <c r="B9" s="14">
        <f>COUNTIFS(Machines!$D$2:$D$45,$A9)</f>
        <v/>
      </c>
      <c r="C9" s="14">
        <f>COUNTIFS(Machines!$D$2:$D$45,$A9,Machines!$E$2:$E$45,"Oui")</f>
        <v/>
      </c>
      <c r="D9" s="14">
        <f>COUNTIFS(Machines!$D$2:$D$45,$A9,Machines!$E$2:$E$45,"Non")</f>
        <v/>
      </c>
    </row>
    <row r="10">
      <c r="A10" s="11" t="inlineStr">
        <is>
          <t>Pelle sur chenilles</t>
        </is>
      </c>
      <c r="B10" s="12">
        <f>COUNTIFS(Machines!$D$2:$D$45,$A10)</f>
        <v/>
      </c>
      <c r="C10" s="12">
        <f>COUNTIFS(Machines!$D$2:$D$45,$A10,Machines!$E$2:$E$45,"Oui")</f>
        <v/>
      </c>
      <c r="D10" s="12">
        <f>COUNTIFS(Machines!$D$2:$D$45,$A10,Machines!$E$2:$E$45,"Non")</f>
        <v/>
      </c>
    </row>
    <row r="11">
      <c r="A11" s="13" t="inlineStr">
        <is>
          <t>Pelle rail-route</t>
        </is>
      </c>
      <c r="B11" s="14">
        <f>COUNTIFS(Machines!$D$2:$D$45,$A11)</f>
        <v/>
      </c>
      <c r="C11" s="14">
        <f>COUNTIFS(Machines!$D$2:$D$45,$A11,Machines!$E$2:$E$45,"Oui")</f>
        <v/>
      </c>
      <c r="D11" s="14">
        <f>COUNTIFS(Machines!$D$2:$D$45,$A11,Machines!$E$2:$E$45,"Non")</f>
        <v/>
      </c>
    </row>
    <row r="12">
      <c r="A12" s="16" t="inlineStr">
        <is>
          <t>Total</t>
        </is>
      </c>
      <c r="B12" s="17">
        <f>SUM(B4:B11)</f>
        <v/>
      </c>
      <c r="C12" s="17">
        <f>SUM(C4:C11)</f>
        <v/>
      </c>
      <c r="D12" s="17">
        <f>SUM(D4:D11)</f>
        <v/>
      </c>
    </row>
    <row r="14">
      <c r="A14" s="18" t="inlineStr">
        <is>
          <t>Machines sans abaque</t>
        </is>
      </c>
    </row>
    <row r="15">
      <c r="A15" s="10" t="inlineStr">
        <is>
          <t>Machine</t>
        </is>
      </c>
      <c r="B15" s="10" t="inlineStr">
        <is>
          <t>Type</t>
        </is>
      </c>
      <c r="C15" s="19" t="n"/>
      <c r="D15" s="20" t="n"/>
    </row>
    <row r="16">
      <c r="A16" s="11" t="inlineStr">
        <is>
          <t>JMG MC 160</t>
        </is>
      </c>
      <c r="B16" s="11" t="inlineStr">
        <is>
          <t>Grue mobile sur pneus</t>
        </is>
      </c>
      <c r="C16" s="11" t="n"/>
      <c r="D16" s="11" t="n"/>
    </row>
    <row r="17">
      <c r="A17" s="13" t="inlineStr">
        <is>
          <t>Liebherr LTM 1090-4.2</t>
        </is>
      </c>
      <c r="B17" s="13" t="inlineStr">
        <is>
          <t>Grue mobile sur pneus</t>
        </is>
      </c>
      <c r="C17" s="13" t="n"/>
      <c r="D17" s="13" t="n"/>
    </row>
    <row r="18">
      <c r="A18" s="11" t="inlineStr">
        <is>
          <t>Shuttlelift 5550 RT</t>
        </is>
      </c>
      <c r="B18" s="11" t="inlineStr">
        <is>
          <t>Grue mobile sur pneus</t>
        </is>
      </c>
      <c r="C18" s="11" t="n"/>
      <c r="D18" s="11" t="n"/>
    </row>
    <row r="19">
      <c r="A19" s="13" t="inlineStr">
        <is>
          <t>Liebherr LR 1200</t>
        </is>
      </c>
      <c r="B19" s="13" t="inlineStr">
        <is>
          <t>Grue mobile sur chenilles</t>
        </is>
      </c>
      <c r="C19" s="13" t="n"/>
      <c r="D19" s="13" t="n"/>
    </row>
    <row r="20">
      <c r="A20" s="11" t="inlineStr">
        <is>
          <t>Terex TCC 45</t>
        </is>
      </c>
      <c r="B20" s="11" t="inlineStr">
        <is>
          <t>Grue mobile sur chenilles</t>
        </is>
      </c>
      <c r="C20" s="11" t="n"/>
      <c r="D20" s="11" t="n"/>
    </row>
    <row r="21">
      <c r="A21" s="13" t="inlineStr">
        <is>
          <t>Manitou MT 1440</t>
        </is>
      </c>
      <c r="B21" s="13" t="inlineStr">
        <is>
          <t>Chariot télescopique fixe</t>
        </is>
      </c>
      <c r="C21" s="13" t="n"/>
      <c r="D21" s="13" t="n"/>
    </row>
    <row r="22">
      <c r="A22" s="11" t="inlineStr">
        <is>
          <t>Merlo P40.17</t>
        </is>
      </c>
      <c r="B22" s="11" t="inlineStr">
        <is>
          <t>Chariot télescopique fixe</t>
        </is>
      </c>
      <c r="C22" s="11" t="n"/>
      <c r="D22" s="11" t="n"/>
    </row>
    <row r="23">
      <c r="A23" s="13" t="inlineStr">
        <is>
          <t>Manitou MRT 2550 (Privilège+)</t>
        </is>
      </c>
      <c r="B23" s="13" t="inlineStr">
        <is>
          <t>Chariot télescopique rotatif</t>
        </is>
      </c>
      <c r="C23" s="13" t="n"/>
      <c r="D23" s="13" t="n"/>
    </row>
    <row r="24">
      <c r="A24" s="11" t="inlineStr">
        <is>
          <t>Caterpillar M318 (Next Gen)</t>
        </is>
      </c>
      <c r="B24" s="11" t="inlineStr">
        <is>
          <t>Pelle sur pneus</t>
        </is>
      </c>
      <c r="C24" s="11" t="n"/>
      <c r="D24" s="11" t="n"/>
    </row>
    <row r="26">
      <c r="A26" s="2" t="inlineStr">
        <is>
          <t>Liste des manquants figée à la génération (npm run machines:xlsx) ; les comptages ci-dessus sont des formules.</t>
        </is>
      </c>
    </row>
  </sheetData>
  <mergeCells count="10">
    <mergeCell ref="B19:D19"/>
    <mergeCell ref="B23:D23"/>
    <mergeCell ref="B22:D22"/>
    <mergeCell ref="B17:D17"/>
    <mergeCell ref="B18:D18"/>
    <mergeCell ref="B21:D21"/>
    <mergeCell ref="B15:D15"/>
    <mergeCell ref="B24:D24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2026-10-12T10:03:16Z</dcterms:created>
  <dcterms:modified xmlns:dcterms="http://purl.org/dc/terms/" xmlns:xsi="http://www.w3.org/2001/XMLSchema-instance" xsi:type="dcterms:W3CDTF">2026-10-12T10:03:16Z</dcterms:modified>
</cp:coreProperties>
</file>